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PSA-GB\"/>
    </mc:Choice>
  </mc:AlternateContent>
  <xr:revisionPtr revIDLastSave="0" documentId="13_ncr:1_{46770349-44AF-44F1-9977-1C19848B77E9}" xr6:coauthVersionLast="47" xr6:coauthVersionMax="47" xr10:uidLastSave="{00000000-0000-0000-0000-000000000000}"/>
  <bookViews>
    <workbookView xWindow="-108" yWindow="-108" windowWidth="23256" windowHeight="12576" xr2:uid="{17A3449A-4034-4A4E-B73E-897CA897188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8" i="1"/>
  <c r="S9" i="1"/>
  <c r="S10" i="1"/>
  <c r="S11" i="1"/>
  <c r="S7" i="1"/>
  <c r="S3" i="1"/>
  <c r="S5" i="1"/>
  <c r="S2" i="1"/>
  <c r="P3" i="1"/>
  <c r="P4" i="1"/>
  <c r="P5" i="1"/>
  <c r="P6" i="1"/>
  <c r="P7" i="1"/>
  <c r="P8" i="1"/>
  <c r="P9" i="1"/>
  <c r="P10" i="1"/>
  <c r="P11" i="1"/>
  <c r="P12" i="1"/>
  <c r="P2" i="1"/>
  <c r="M2" i="1"/>
  <c r="M3" i="1"/>
  <c r="M4" i="1"/>
  <c r="M5" i="1"/>
  <c r="M6" i="1"/>
  <c r="M7" i="1"/>
  <c r="M8" i="1"/>
  <c r="M9" i="1"/>
  <c r="M10" i="1"/>
  <c r="M11" i="1"/>
  <c r="M12" i="1"/>
  <c r="L12" i="1"/>
  <c r="L11" i="1"/>
  <c r="L10" i="1"/>
  <c r="L9" i="1"/>
  <c r="L8" i="1"/>
  <c r="L7" i="1"/>
  <c r="L6" i="1"/>
  <c r="L5" i="1"/>
  <c r="L4" i="1"/>
  <c r="L3" i="1"/>
  <c r="L2" i="1"/>
  <c r="K3" i="1"/>
  <c r="K4" i="1"/>
  <c r="K5" i="1"/>
  <c r="K6" i="1"/>
  <c r="K7" i="1"/>
  <c r="K8" i="1"/>
  <c r="K9" i="1"/>
  <c r="K10" i="1"/>
  <c r="K11" i="1"/>
  <c r="K12" i="1"/>
  <c r="K2" i="1"/>
  <c r="I2" i="1"/>
  <c r="I3" i="1"/>
  <c r="I4" i="1"/>
  <c r="I5" i="1"/>
  <c r="I6" i="1"/>
  <c r="I7" i="1"/>
  <c r="I8" i="1"/>
  <c r="I9" i="1"/>
  <c r="I10" i="1"/>
  <c r="I11" i="1"/>
  <c r="I12" i="1"/>
</calcChain>
</file>

<file path=xl/sharedStrings.xml><?xml version="1.0" encoding="utf-8"?>
<sst xmlns="http://schemas.openxmlformats.org/spreadsheetml/2006/main" count="29" uniqueCount="29">
  <si>
    <t>Name</t>
  </si>
  <si>
    <t xml:space="preserve">f_nom
[HZ] </t>
  </si>
  <si>
    <t>s_nom
[MVA]</t>
  </si>
  <si>
    <t>v_nom_0
[KV]</t>
  </si>
  <si>
    <t>v_nom_1
[KV]</t>
  </si>
  <si>
    <t>vsc
[%]</t>
  </si>
  <si>
    <t>vscr
[%]</t>
  </si>
  <si>
    <t>pfe
[Kw]</t>
  </si>
  <si>
    <t>i0
[%]</t>
  </si>
  <si>
    <t>phase_shift
[degree]</t>
  </si>
  <si>
    <t>tap_side
[0 or 1]</t>
  </si>
  <si>
    <t xml:space="preserve">tap_neutral
</t>
  </si>
  <si>
    <t>tap_min</t>
  </si>
  <si>
    <t>tap_max</t>
  </si>
  <si>
    <t>Thurso_20_MVA</t>
  </si>
  <si>
    <t>Thurso_30_MVA</t>
  </si>
  <si>
    <t>SCORRADALE_24_MVA</t>
  </si>
  <si>
    <t>SCORRADALE_15_MVA</t>
  </si>
  <si>
    <t>SCORRADALE_12.5_MVA</t>
  </si>
  <si>
    <t>SCORRADALE_8.0_MVA</t>
  </si>
  <si>
    <t>SCORRADALE_4.0_MVA</t>
  </si>
  <si>
    <t>SCORRADALE_2.5_MVA</t>
  </si>
  <si>
    <t>SCORRADALE_1.6_MVA</t>
  </si>
  <si>
    <t>SCORRADALE_1.0_MVA</t>
  </si>
  <si>
    <t>SCORRADALE_0.2_MVA</t>
  </si>
  <si>
    <t>PF</t>
  </si>
  <si>
    <t>i0
[A]</t>
  </si>
  <si>
    <t>I_base_33kv</t>
  </si>
  <si>
    <t>tap_step
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</si>
</sst>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164" fontId="2" fillId="2" borderId="1" xfId="1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Normal" xfId="0" builtinId="0"/>
    <cellStyle name="Normal 7" xfId="1" xr:uid="{0FCED8FD-578D-41BC-8DE3-AB3578A9E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142876</xdr:rowOff>
    </xdr:from>
    <xdr:to>
      <xdr:col>11</xdr:col>
      <xdr:colOff>664084</xdr:colOff>
      <xdr:row>42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11F326-5B24-C8A2-2CC1-10C61CA2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8476"/>
          <a:ext cx="8207884" cy="481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302895</xdr:colOff>
      <xdr:row>18</xdr:row>
      <xdr:rowOff>102870</xdr:rowOff>
    </xdr:from>
    <xdr:to>
      <xdr:col>25</xdr:col>
      <xdr:colOff>531758</xdr:colOff>
      <xdr:row>32</xdr:row>
      <xdr:rowOff>168822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A0416-34A5-9992-A357-CC70B8CBF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6695" y="3541395"/>
          <a:ext cx="9334763" cy="2599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E53D-3F6C-4C1D-98F4-93D9D8D5E893}">
  <dimension ref="B1:S12"/>
  <sheetViews>
    <sheetView tabSelected="1" workbookViewId="0">
      <selection activeCell="B1" sqref="B1:S12"/>
    </sheetView>
  </sheetViews>
  <sheetFormatPr defaultRowHeight="14.4" x14ac:dyDescent="0.3"/>
  <cols>
    <col min="1" max="1" width="8.88671875" style="1"/>
    <col min="2" max="2" width="21.109375" style="1" bestFit="1" customWidth="1"/>
    <col min="3" max="11" width="8.88671875" style="1"/>
    <col min="12" max="12" width="11.109375" style="1" bestFit="1" customWidth="1"/>
    <col min="13" max="13" width="8.88671875" style="1"/>
    <col min="14" max="14" width="13.21875" style="1" customWidth="1"/>
    <col min="15" max="15" width="8.88671875" style="1"/>
    <col min="16" max="16" width="11.6640625" style="1" customWidth="1"/>
    <col min="17" max="17" width="7.88671875" style="1" bestFit="1" customWidth="1"/>
    <col min="18" max="16384" width="8.88671875" style="1"/>
  </cols>
  <sheetData>
    <row r="1" spans="2:19" ht="28.8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25</v>
      </c>
      <c r="I1" s="2" t="s">
        <v>6</v>
      </c>
      <c r="J1" s="2" t="s">
        <v>7</v>
      </c>
      <c r="K1" s="2" t="s">
        <v>26</v>
      </c>
      <c r="L1" s="1" t="s">
        <v>27</v>
      </c>
      <c r="M1" s="2" t="s">
        <v>8</v>
      </c>
      <c r="N1" s="2" t="s">
        <v>9</v>
      </c>
      <c r="O1" s="2" t="s">
        <v>10</v>
      </c>
      <c r="P1" s="2" t="s">
        <v>11</v>
      </c>
      <c r="Q1" s="1" t="s">
        <v>12</v>
      </c>
      <c r="R1" s="1" t="s">
        <v>13</v>
      </c>
      <c r="S1" s="2" t="s">
        <v>28</v>
      </c>
    </row>
    <row r="2" spans="2:19" x14ac:dyDescent="0.3">
      <c r="B2" s="1" t="s">
        <v>14</v>
      </c>
      <c r="C2" s="1">
        <v>50</v>
      </c>
      <c r="D2" s="1">
        <v>20</v>
      </c>
      <c r="E2" s="1">
        <v>33</v>
      </c>
      <c r="F2" s="1">
        <v>33</v>
      </c>
      <c r="G2" s="7">
        <v>8</v>
      </c>
      <c r="H2" s="5">
        <v>0.19611613513818402</v>
      </c>
      <c r="I2" s="1">
        <f>G2*H2</f>
        <v>1.5689290811054721</v>
      </c>
      <c r="J2" s="9">
        <v>11</v>
      </c>
      <c r="K2" s="1">
        <f>J2/(SQRT(3)*33*H2)</f>
        <v>0.98130676292531638</v>
      </c>
      <c r="L2" s="1">
        <f>(20*1000)/(SQRT(3)*33)</f>
        <v>349.90925405431869</v>
      </c>
      <c r="M2" s="1">
        <f>K2/L2*100</f>
        <v>0.28044607324760318</v>
      </c>
      <c r="N2" s="1">
        <v>0</v>
      </c>
      <c r="O2" s="1">
        <v>0</v>
      </c>
      <c r="P2" s="1">
        <f>(Q2+R2)/2</f>
        <v>0.92849999999999999</v>
      </c>
      <c r="Q2" s="3">
        <v>0.81410000000000005</v>
      </c>
      <c r="R2" s="3">
        <v>1.0428999999999999</v>
      </c>
      <c r="S2" s="1">
        <f>(R2-Q2)*100/16</f>
        <v>1.4299999999999993</v>
      </c>
    </row>
    <row r="3" spans="2:19" x14ac:dyDescent="0.3">
      <c r="B3" s="1" t="s">
        <v>15</v>
      </c>
      <c r="C3" s="1">
        <v>50</v>
      </c>
      <c r="D3" s="1">
        <v>30</v>
      </c>
      <c r="E3" s="1">
        <v>33</v>
      </c>
      <c r="F3" s="1">
        <v>33</v>
      </c>
      <c r="G3" s="7">
        <v>10</v>
      </c>
      <c r="H3" s="5">
        <v>0.23533060078962326</v>
      </c>
      <c r="I3" s="1">
        <f t="shared" ref="I3:I12" si="0">G3*H3</f>
        <v>2.3533060078962325</v>
      </c>
      <c r="J3" s="9">
        <v>14</v>
      </c>
      <c r="K3" s="1">
        <f t="shared" ref="K3:K12" si="1">J3/(SQRT(3)*33*H3)</f>
        <v>1.0408186483872834</v>
      </c>
      <c r="L3" s="1">
        <f>(30*1000)/(SQRT(3)*33)</f>
        <v>524.86388108147798</v>
      </c>
      <c r="M3" s="1">
        <f t="shared" ref="M3:M12" si="2">K3/L3*100</f>
        <v>0.19830258585191357</v>
      </c>
      <c r="N3" s="1">
        <v>0</v>
      </c>
      <c r="O3" s="1">
        <v>0</v>
      </c>
      <c r="P3" s="1">
        <f t="shared" ref="P3:P12" si="3">(Q3+R3)/2</f>
        <v>0.92849999999999999</v>
      </c>
      <c r="Q3" s="3">
        <v>0.81410000000000005</v>
      </c>
      <c r="R3" s="3">
        <v>1.0428999999999999</v>
      </c>
      <c r="S3" s="1">
        <f t="shared" ref="S3:S11" si="4">(R3-Q3)*100/16</f>
        <v>1.4299999999999993</v>
      </c>
    </row>
    <row r="4" spans="2:19" x14ac:dyDescent="0.3">
      <c r="B4" s="1" t="s">
        <v>16</v>
      </c>
      <c r="C4" s="1">
        <v>50</v>
      </c>
      <c r="D4" s="1">
        <v>24</v>
      </c>
      <c r="E4" s="1">
        <v>33</v>
      </c>
      <c r="F4" s="1">
        <v>11</v>
      </c>
      <c r="G4" s="7">
        <v>8</v>
      </c>
      <c r="H4" s="5">
        <v>3.6439870677330226E-2</v>
      </c>
      <c r="I4" s="1">
        <f t="shared" si="0"/>
        <v>0.29151896541864181</v>
      </c>
      <c r="J4" s="9">
        <v>14</v>
      </c>
      <c r="K4" s="1">
        <f t="shared" si="1"/>
        <v>6.7216615560164872</v>
      </c>
      <c r="L4" s="1">
        <f>(24*1000)/(SQRT(3)*33)</f>
        <v>419.8911048651824</v>
      </c>
      <c r="M4" s="1">
        <f t="shared" si="2"/>
        <v>1.6008106573666672</v>
      </c>
      <c r="N4" s="1">
        <v>0</v>
      </c>
      <c r="O4" s="1">
        <v>0</v>
      </c>
      <c r="P4" s="1">
        <f t="shared" si="3"/>
        <v>0.97500000000000009</v>
      </c>
      <c r="Q4" s="3">
        <v>0.86</v>
      </c>
      <c r="R4" s="3">
        <v>1.0900000000000001</v>
      </c>
      <c r="S4" s="1">
        <f t="shared" si="4"/>
        <v>1.4375000000000007</v>
      </c>
    </row>
    <row r="5" spans="2:19" x14ac:dyDescent="0.3">
      <c r="B5" s="1" t="s">
        <v>17</v>
      </c>
      <c r="C5" s="1">
        <v>50</v>
      </c>
      <c r="D5" s="1">
        <v>15</v>
      </c>
      <c r="E5" s="1">
        <v>33</v>
      </c>
      <c r="F5" s="1">
        <v>11</v>
      </c>
      <c r="G5" s="7">
        <v>8</v>
      </c>
      <c r="H5" s="5">
        <v>5.948921028713991E-2</v>
      </c>
      <c r="I5" s="1">
        <f t="shared" si="0"/>
        <v>0.47591368229711928</v>
      </c>
      <c r="J5" s="9">
        <v>11</v>
      </c>
      <c r="K5" s="1">
        <f t="shared" si="1"/>
        <v>3.2350419311496257</v>
      </c>
      <c r="L5" s="1">
        <f>(15*1000)/(SQRT(3)*33)</f>
        <v>262.43194054073899</v>
      </c>
      <c r="M5" s="1">
        <f t="shared" si="2"/>
        <v>1.2327165376607156</v>
      </c>
      <c r="N5" s="1">
        <v>0</v>
      </c>
      <c r="O5" s="1">
        <v>0</v>
      </c>
      <c r="P5" s="1">
        <f t="shared" si="3"/>
        <v>0.92849999999999999</v>
      </c>
      <c r="Q5" s="3">
        <v>0.81410000000000005</v>
      </c>
      <c r="R5" s="3">
        <v>1.0428999999999999</v>
      </c>
      <c r="S5" s="1">
        <f t="shared" si="4"/>
        <v>1.4299999999999993</v>
      </c>
    </row>
    <row r="6" spans="2:19" x14ac:dyDescent="0.3">
      <c r="B6" s="1" t="s">
        <v>18</v>
      </c>
      <c r="C6" s="1">
        <v>50</v>
      </c>
      <c r="D6" s="1">
        <v>12.5</v>
      </c>
      <c r="E6" s="1">
        <v>33</v>
      </c>
      <c r="F6" s="1">
        <v>11</v>
      </c>
      <c r="G6" s="7">
        <v>8</v>
      </c>
      <c r="H6" s="5">
        <v>6.6661734081229843E-2</v>
      </c>
      <c r="I6" s="1">
        <f t="shared" si="0"/>
        <v>0.53329387264983874</v>
      </c>
      <c r="J6" s="9">
        <v>8</v>
      </c>
      <c r="K6" s="1">
        <f t="shared" si="1"/>
        <v>2.0996108719760636</v>
      </c>
      <c r="L6" s="1">
        <f>(12.5*1000)/(SQRT(3)*33)</f>
        <v>218.69328378394917</v>
      </c>
      <c r="M6" s="1">
        <f t="shared" si="2"/>
        <v>0.96007103448604525</v>
      </c>
      <c r="N6" s="1">
        <v>0</v>
      </c>
      <c r="O6" s="1">
        <v>0</v>
      </c>
      <c r="P6" s="1">
        <f t="shared" si="3"/>
        <v>1</v>
      </c>
      <c r="Q6" s="3">
        <v>0.875</v>
      </c>
      <c r="R6" s="3">
        <v>1.125</v>
      </c>
      <c r="S6" s="1">
        <v>1.25</v>
      </c>
    </row>
    <row r="7" spans="2:19" x14ac:dyDescent="0.3">
      <c r="B7" s="1" t="s">
        <v>19</v>
      </c>
      <c r="C7" s="1">
        <v>50</v>
      </c>
      <c r="D7" s="1">
        <v>8</v>
      </c>
      <c r="E7" s="1">
        <v>33</v>
      </c>
      <c r="F7" s="1">
        <v>11</v>
      </c>
      <c r="G7" s="7">
        <v>8</v>
      </c>
      <c r="H7" s="5">
        <v>7.0248557636297851E-2</v>
      </c>
      <c r="I7" s="1">
        <f t="shared" si="0"/>
        <v>0.56198846109038281</v>
      </c>
      <c r="J7" s="9">
        <v>5</v>
      </c>
      <c r="K7" s="1">
        <f t="shared" si="1"/>
        <v>1.2452542295100393</v>
      </c>
      <c r="L7" s="1">
        <f>(8*1000)/(SQRT(3)*33)</f>
        <v>139.96370162172747</v>
      </c>
      <c r="M7" s="1">
        <f t="shared" si="2"/>
        <v>0.88969798246371212</v>
      </c>
      <c r="N7" s="1">
        <v>0</v>
      </c>
      <c r="O7" s="1">
        <v>0</v>
      </c>
      <c r="P7" s="1">
        <f t="shared" si="3"/>
        <v>0.92849999999999999</v>
      </c>
      <c r="Q7" s="3">
        <v>0.81410000000000005</v>
      </c>
      <c r="R7" s="3">
        <v>1.0428999999999999</v>
      </c>
      <c r="S7" s="1">
        <f t="shared" si="4"/>
        <v>1.4299999999999993</v>
      </c>
    </row>
    <row r="8" spans="2:19" x14ac:dyDescent="0.3">
      <c r="B8" s="1" t="s">
        <v>20</v>
      </c>
      <c r="C8" s="1">
        <v>50</v>
      </c>
      <c r="D8" s="1">
        <v>4</v>
      </c>
      <c r="E8" s="1">
        <v>33</v>
      </c>
      <c r="F8" s="1">
        <v>11</v>
      </c>
      <c r="G8" s="7">
        <v>7</v>
      </c>
      <c r="H8" s="5">
        <v>0.12736812541861142</v>
      </c>
      <c r="I8" s="1">
        <f t="shared" si="0"/>
        <v>0.89157687793027995</v>
      </c>
      <c r="J8" s="9">
        <v>5</v>
      </c>
      <c r="K8" s="1">
        <f t="shared" si="1"/>
        <v>0.68680694817541232</v>
      </c>
      <c r="L8" s="1">
        <f>(4*1000)/(SQRT(3)*33)</f>
        <v>69.981850810863733</v>
      </c>
      <c r="M8" s="1">
        <f t="shared" si="2"/>
        <v>0.98140723661568963</v>
      </c>
      <c r="N8" s="1">
        <v>0</v>
      </c>
      <c r="O8" s="1">
        <v>0</v>
      </c>
      <c r="P8" s="1">
        <f t="shared" si="3"/>
        <v>0.92849999999999999</v>
      </c>
      <c r="Q8" s="3">
        <v>0.81410000000000005</v>
      </c>
      <c r="R8" s="3">
        <v>1.0428999999999999</v>
      </c>
      <c r="S8" s="1">
        <f t="shared" si="4"/>
        <v>1.4299999999999993</v>
      </c>
    </row>
    <row r="9" spans="2:19" x14ac:dyDescent="0.3">
      <c r="B9" s="1" t="s">
        <v>21</v>
      </c>
      <c r="C9" s="1">
        <v>50</v>
      </c>
      <c r="D9" s="1">
        <v>2.5</v>
      </c>
      <c r="E9" s="1">
        <v>33</v>
      </c>
      <c r="F9" s="1">
        <v>11</v>
      </c>
      <c r="G9" s="7">
        <v>6</v>
      </c>
      <c r="H9" s="5">
        <v>0.12783025714996737</v>
      </c>
      <c r="I9" s="1">
        <f t="shared" si="0"/>
        <v>0.76698154289980425</v>
      </c>
      <c r="J9" s="8">
        <v>2.79</v>
      </c>
      <c r="K9" s="1">
        <f t="shared" si="1"/>
        <v>0.3818527947050282</v>
      </c>
      <c r="L9" s="1">
        <f>(2.5*1000)/(SQRT(3)*33)</f>
        <v>43.738656756789837</v>
      </c>
      <c r="M9" s="1">
        <f t="shared" si="2"/>
        <v>0.87303274270248521</v>
      </c>
      <c r="N9" s="1">
        <v>0</v>
      </c>
      <c r="O9" s="1">
        <v>0</v>
      </c>
      <c r="P9" s="1">
        <f t="shared" si="3"/>
        <v>0.92849999999999999</v>
      </c>
      <c r="Q9" s="3">
        <v>0.81410000000000005</v>
      </c>
      <c r="R9" s="3">
        <v>1.0428999999999999</v>
      </c>
      <c r="S9" s="1">
        <f t="shared" si="4"/>
        <v>1.4299999999999993</v>
      </c>
    </row>
    <row r="10" spans="2:19" x14ac:dyDescent="0.3">
      <c r="B10" s="1" t="s">
        <v>22</v>
      </c>
      <c r="C10" s="1">
        <v>50</v>
      </c>
      <c r="D10" s="1">
        <v>1.6</v>
      </c>
      <c r="E10" s="1">
        <v>33</v>
      </c>
      <c r="F10" s="1">
        <v>11</v>
      </c>
      <c r="G10" s="7">
        <v>5</v>
      </c>
      <c r="H10" s="5">
        <v>0.12778528928136806</v>
      </c>
      <c r="I10" s="1">
        <f t="shared" si="0"/>
        <v>0.63892644640684026</v>
      </c>
      <c r="J10" s="8">
        <v>1.98</v>
      </c>
      <c r="K10" s="1">
        <f t="shared" si="1"/>
        <v>0.27108766858994338</v>
      </c>
      <c r="L10" s="1">
        <f>(1.6*1000)/(SQRT(3)*33)</f>
        <v>27.992740324345494</v>
      </c>
      <c r="M10" s="1">
        <f t="shared" si="2"/>
        <v>0.96842133156279964</v>
      </c>
      <c r="N10" s="1">
        <v>0</v>
      </c>
      <c r="O10" s="1">
        <v>0</v>
      </c>
      <c r="P10" s="1">
        <f t="shared" si="3"/>
        <v>0.92849999999999999</v>
      </c>
      <c r="Q10" s="6">
        <v>0.81410000000000005</v>
      </c>
      <c r="R10" s="3">
        <v>1.0428999999999999</v>
      </c>
      <c r="S10" s="1">
        <f t="shared" si="4"/>
        <v>1.4299999999999993</v>
      </c>
    </row>
    <row r="11" spans="2:19" x14ac:dyDescent="0.3">
      <c r="B11" s="1" t="s">
        <v>23</v>
      </c>
      <c r="C11" s="1">
        <v>50</v>
      </c>
      <c r="D11" s="1">
        <v>1</v>
      </c>
      <c r="E11" s="1">
        <v>33</v>
      </c>
      <c r="F11" s="1">
        <v>11</v>
      </c>
      <c r="G11" s="7">
        <v>4</v>
      </c>
      <c r="H11" s="5">
        <v>0.12764718748870171</v>
      </c>
      <c r="I11" s="1">
        <f t="shared" si="0"/>
        <v>0.51058874995480685</v>
      </c>
      <c r="J11" s="8">
        <v>1.395</v>
      </c>
      <c r="K11" s="1">
        <f t="shared" si="1"/>
        <v>0.19120022109730356</v>
      </c>
      <c r="L11" s="1">
        <f>(1*1000)/(SQRT(3)*33)</f>
        <v>17.495462702715933</v>
      </c>
      <c r="M11" s="1">
        <f t="shared" si="2"/>
        <v>1.0928560412844772</v>
      </c>
      <c r="N11" s="1">
        <v>0</v>
      </c>
      <c r="O11" s="1">
        <v>0</v>
      </c>
      <c r="P11" s="1">
        <f t="shared" si="3"/>
        <v>0.92849999999999999</v>
      </c>
      <c r="Q11" s="6">
        <v>0.81410000000000005</v>
      </c>
      <c r="R11" s="3">
        <v>1.0428999999999999</v>
      </c>
      <c r="S11" s="1">
        <f t="shared" si="4"/>
        <v>1.4299999999999993</v>
      </c>
    </row>
    <row r="12" spans="2:19" x14ac:dyDescent="0.3">
      <c r="B12" s="1" t="s">
        <v>24</v>
      </c>
      <c r="C12" s="1">
        <v>50</v>
      </c>
      <c r="D12" s="1">
        <v>0.2</v>
      </c>
      <c r="E12" s="1">
        <v>33</v>
      </c>
      <c r="F12" s="1">
        <v>11</v>
      </c>
      <c r="G12" s="7">
        <v>4</v>
      </c>
      <c r="H12" s="5">
        <v>0.12980898334589711</v>
      </c>
      <c r="I12" s="1">
        <f t="shared" si="0"/>
        <v>0.51923593338358842</v>
      </c>
      <c r="J12" s="8">
        <v>0.46800000000000003</v>
      </c>
      <c r="K12" s="1">
        <f t="shared" si="1"/>
        <v>6.3076347520981124E-2</v>
      </c>
      <c r="L12" s="1">
        <f>(0.2*1000)/(SQRT(3)*33)</f>
        <v>3.4990925405431867</v>
      </c>
      <c r="M12" s="1">
        <f t="shared" si="2"/>
        <v>1.8026487379264731</v>
      </c>
      <c r="N12" s="1">
        <v>0</v>
      </c>
      <c r="O12" s="1">
        <v>0</v>
      </c>
      <c r="P12" s="1">
        <f t="shared" si="3"/>
        <v>1</v>
      </c>
      <c r="Q12" s="6">
        <v>0.95</v>
      </c>
      <c r="R12" s="4">
        <v>1.05</v>
      </c>
      <c r="S12" s="1">
        <v>1.25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961C85CE9C4458999A6D399E262FE" ma:contentTypeVersion="11" ma:contentTypeDescription="Create a new document." ma:contentTypeScope="" ma:versionID="520026057777cb4828208bf8f0f28fd2">
  <xsd:schema xmlns:xsd="http://www.w3.org/2001/XMLSchema" xmlns:xs="http://www.w3.org/2001/XMLSchema" xmlns:p="http://schemas.microsoft.com/office/2006/metadata/properties" xmlns:ns2="42d9e66e-34e8-473a-9896-5c885ff3768e" xmlns:ns3="6d8d29b2-fe86-40e2-902c-cf51958178ad" targetNamespace="http://schemas.microsoft.com/office/2006/metadata/properties" ma:root="true" ma:fieldsID="e8bd9794c704b036d397d316e8863427" ns2:_="" ns3:_="">
    <xsd:import namespace="42d9e66e-34e8-473a-9896-5c885ff3768e"/>
    <xsd:import namespace="6d8d29b2-fe86-40e2-902c-cf51958178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9e66e-34e8-473a-9896-5c885ff376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29b2-fe86-40e2-902c-cf51958178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5a545e-c26a-4dca-bf80-bfcae4ac29ac}" ma:internalName="TaxCatchAll" ma:showField="CatchAllData" ma:web="6d8d29b2-fe86-40e2-902c-cf51958178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d9e66e-34e8-473a-9896-5c885ff3768e">
      <Terms xmlns="http://schemas.microsoft.com/office/infopath/2007/PartnerControls"/>
    </lcf76f155ced4ddcb4097134ff3c332f>
    <TaxCatchAll xmlns="6d8d29b2-fe86-40e2-902c-cf51958178ad" xsi:nil="true"/>
  </documentManagement>
</p:properties>
</file>

<file path=customXml/itemProps1.xml><?xml version="1.0" encoding="utf-8"?>
<ds:datastoreItem xmlns:ds="http://schemas.openxmlformats.org/officeDocument/2006/customXml" ds:itemID="{21EA35FF-4ACF-4FF5-989D-947C10B925A1}"/>
</file>

<file path=customXml/itemProps2.xml><?xml version="1.0" encoding="utf-8"?>
<ds:datastoreItem xmlns:ds="http://schemas.openxmlformats.org/officeDocument/2006/customXml" ds:itemID="{AA0022B4-6DBD-4CB1-9AFD-259DBD575F62}"/>
</file>

<file path=customXml/itemProps3.xml><?xml version="1.0" encoding="utf-8"?>
<ds:datastoreItem xmlns:ds="http://schemas.openxmlformats.org/officeDocument/2006/customXml" ds:itemID="{073C4251-C16B-4963-8DC5-281A545F0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Honggoo Lee</dc:creator>
  <cp:lastModifiedBy>Honggoo Lee</cp:lastModifiedBy>
  <dcterms:created xsi:type="dcterms:W3CDTF">2024-07-15T14:52:32Z</dcterms:created>
  <dcterms:modified xsi:type="dcterms:W3CDTF">2024-07-18T09:11:36Z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0x010100615961C85CE9C4458999A6D399E262FE</vt:lpwstr>
  </property>
  <property fmtid="{D5CDD505-2E9C-101B-9397-08002B2CF9AE}" pid="3" name="MediaServiceImageTags">
    <vt:lpwstr/>
  </property>
</Properties>
</file>