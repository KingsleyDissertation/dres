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PSA-GB\"/>
    </mc:Choice>
  </mc:AlternateContent>
  <xr:revisionPtr revIDLastSave="0" documentId="13_ncr:1_{3154A445-4F75-4803-8467-FE480C259553}" xr6:coauthVersionLast="47" xr6:coauthVersionMax="47" xr10:uidLastSave="{00000000-0000-0000-0000-000000000000}"/>
  <bookViews>
    <workbookView xWindow="-108" yWindow="-108" windowWidth="23256" windowHeight="12576" xr2:uid="{61C1060E-C228-4B6D-AF05-C04AB3763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</calcChain>
</file>

<file path=xl/sharedStrings.xml><?xml version="1.0" encoding="utf-8"?>
<sst xmlns="http://schemas.openxmlformats.org/spreadsheetml/2006/main" count="99" uniqueCount="86">
  <si>
    <t>Type</t>
  </si>
  <si>
    <t>Name</t>
  </si>
  <si>
    <t>Thurso_20_MVA</t>
  </si>
  <si>
    <t>Thurso_30_MVA</t>
  </si>
  <si>
    <t>SCORRADALE_24_MVA</t>
  </si>
  <si>
    <t>SCORRADALE_15_MVA</t>
  </si>
  <si>
    <t>SCORRADALE_12.5_MVA</t>
  </si>
  <si>
    <t>SCORRADALE_8.0_MVA</t>
  </si>
  <si>
    <t>SCORRADALE_4.0_MVA</t>
  </si>
  <si>
    <t>SCORRADALE_2.5_MVA</t>
  </si>
  <si>
    <t>SCORRADALE_1.6_MVA</t>
  </si>
  <si>
    <t>SCORRADALE_1.0_MVA</t>
  </si>
  <si>
    <t>SCORRADALE_0.2_MVA</t>
  </si>
  <si>
    <t>Number of tr types = 11</t>
  </si>
  <si>
    <t xml:space="preserve">Total number of tr = 22 </t>
  </si>
  <si>
    <t>bus0</t>
  </si>
  <si>
    <t>bus0_number</t>
  </si>
  <si>
    <t>bus1</t>
  </si>
  <si>
    <t>bus1_number</t>
  </si>
  <si>
    <t>x[pu]</t>
  </si>
  <si>
    <t>r[pu]</t>
  </si>
  <si>
    <t>s_nom[MVA]</t>
  </si>
  <si>
    <t>STROMN3A</t>
  </si>
  <si>
    <t>STROMN1A</t>
  </si>
  <si>
    <t>STROMN3B</t>
  </si>
  <si>
    <t>STROMN1B</t>
  </si>
  <si>
    <t>BURGAR3B</t>
  </si>
  <si>
    <t>BURGAR1A</t>
  </si>
  <si>
    <t>ROUSAY3B</t>
  </si>
  <si>
    <t>ROUSAY1A</t>
  </si>
  <si>
    <t>WESTRY3A</t>
  </si>
  <si>
    <t>WESTRY1A</t>
  </si>
  <si>
    <t>SANDAY3A</t>
  </si>
  <si>
    <t>SANDAY1A</t>
  </si>
  <si>
    <t>STRONS3A</t>
  </si>
  <si>
    <t>STRONS1A</t>
  </si>
  <si>
    <t>SHAPIN3A</t>
  </si>
  <si>
    <t>SHAPIN1A</t>
  </si>
  <si>
    <t>KIRKWA3A</t>
  </si>
  <si>
    <t>KIRKWA1A</t>
  </si>
  <si>
    <t>KIRKWA1B</t>
  </si>
  <si>
    <t>STMARY3A</t>
  </si>
  <si>
    <t>STMARY1A</t>
  </si>
  <si>
    <t>NTHHOY3B</t>
  </si>
  <si>
    <t>NTHHOY1A</t>
  </si>
  <si>
    <t>LYNESS3B</t>
  </si>
  <si>
    <t>LYNESS1A</t>
  </si>
  <si>
    <t>FLOTTA3B</t>
  </si>
  <si>
    <t>FLOTTA1A</t>
  </si>
  <si>
    <t>FLTOCC3B</t>
  </si>
  <si>
    <t>FLTOCC1C</t>
  </si>
  <si>
    <t>THORNFG1</t>
  </si>
  <si>
    <t>THORNF1A</t>
  </si>
  <si>
    <t>THORNFG2</t>
  </si>
  <si>
    <t>THORNF1B</t>
  </si>
  <si>
    <t>SIGURDG1</t>
  </si>
  <si>
    <t>SIGURD1A</t>
  </si>
  <si>
    <t>NEWBIG3A</t>
  </si>
  <si>
    <t>NEWBIG1A</t>
  </si>
  <si>
    <t>EDAY3C</t>
  </si>
  <si>
    <t>EDAY1A</t>
  </si>
  <si>
    <t>86139 - 86101</t>
  </si>
  <si>
    <t>86160 - 86101</t>
  </si>
  <si>
    <t>86123 - 86124</t>
  </si>
  <si>
    <t>86123 - 86125</t>
  </si>
  <si>
    <t>86102 - 86103</t>
  </si>
  <si>
    <t>86104 - 86105</t>
  </si>
  <si>
    <t>86138 - 86141</t>
  </si>
  <si>
    <t>86161 - 86162</t>
  </si>
  <si>
    <t>86108 - 86109</t>
  </si>
  <si>
    <t>86113 - 86114</t>
  </si>
  <si>
    <t>86126 - 86127</t>
  </si>
  <si>
    <t>86111 - 86112</t>
  </si>
  <si>
    <t>86121 - 86122</t>
  </si>
  <si>
    <t>86135 - 86136</t>
  </si>
  <si>
    <t>86147 - 86149</t>
  </si>
  <si>
    <t>86148 - 86146</t>
  </si>
  <si>
    <t>86151 - 86150</t>
  </si>
  <si>
    <t>86117 - 86118</t>
  </si>
  <si>
    <t>86119 - 86120</t>
  </si>
  <si>
    <t>86132 - 86133</t>
  </si>
  <si>
    <t>86168 - 86116</t>
  </si>
  <si>
    <t>86129 - 86130</t>
  </si>
  <si>
    <t>SCORRA3B</t>
  </si>
  <si>
    <t>SCORRA3C</t>
  </si>
  <si>
    <t>SCORRA3A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</si>
</sst>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33">
    <xf numFmtId="0" fontId="0" fillId="0" borderId="0" xfId="0"/>
    <xf numFmtId="0" fontId="1" fillId="3" borderId="6" xfId="3" applyFill="1" applyBorder="1" applyAlignment="1">
      <alignment horizontal="center"/>
    </xf>
    <xf numFmtId="165" fontId="1" fillId="3" borderId="6" xfId="0" applyNumberFormat="1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3" applyFill="1" applyBorder="1" applyAlignment="1">
      <alignment horizontal="center"/>
    </xf>
    <xf numFmtId="0" fontId="1" fillId="4" borderId="1" xfId="3" applyFill="1" applyBorder="1" applyAlignment="1">
      <alignment horizontal="center"/>
    </xf>
    <xf numFmtId="1" fontId="1" fillId="3" borderId="1" xfId="3" applyNumberFormat="1" applyFill="1" applyBorder="1" applyAlignment="1">
      <alignment horizontal="center"/>
    </xf>
    <xf numFmtId="1" fontId="1" fillId="4" borderId="1" xfId="3" applyNumberFormat="1" applyFill="1" applyBorder="1" applyAlignment="1">
      <alignment horizontal="center"/>
    </xf>
    <xf numFmtId="1" fontId="1" fillId="3" borderId="1" xfId="3" quotePrefix="1" applyNumberFormat="1" applyFill="1" applyBorder="1" applyAlignment="1">
      <alignment horizontal="center"/>
    </xf>
    <xf numFmtId="1" fontId="1" fillId="4" borderId="1" xfId="3" quotePrefix="1" applyNumberFormat="1" applyFill="1" applyBorder="1" applyAlignment="1">
      <alignment horizontal="center"/>
    </xf>
    <xf numFmtId="1" fontId="1" fillId="3" borderId="6" xfId="3" quotePrefix="1" applyNumberForma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3" applyFill="1" applyBorder="1" applyAlignment="1">
      <alignment horizontal="center"/>
    </xf>
    <xf numFmtId="0" fontId="1" fillId="4" borderId="2" xfId="3" applyFill="1" applyBorder="1" applyAlignment="1">
      <alignment horizontal="center"/>
    </xf>
    <xf numFmtId="0" fontId="1" fillId="3" borderId="3" xfId="3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64" fontId="1" fillId="0" borderId="1" xfId="3" applyNumberFormat="1" applyFill="1" applyBorder="1" applyAlignment="1">
      <alignment horizontal="center"/>
    </xf>
    <xf numFmtId="0" fontId="0" fillId="0" borderId="1" xfId="0" applyFill="1" applyBorder="1"/>
    <xf numFmtId="0" fontId="0" fillId="0" borderId="6" xfId="0" applyFill="1" applyBorder="1"/>
    <xf numFmtId="0" fontId="0" fillId="0" borderId="4" xfId="0" applyBorder="1" applyAlignment="1">
      <alignment horizontal="center" vertical="center"/>
    </xf>
    <xf numFmtId="164" fontId="1" fillId="5" borderId="1" xfId="3" applyNumberFormat="1" applyFill="1" applyBorder="1" applyAlignment="1">
      <alignment horizontal="center"/>
    </xf>
    <xf numFmtId="0" fontId="0" fillId="4" borderId="1" xfId="0" applyFill="1" applyBorder="1"/>
    <xf numFmtId="164" fontId="1" fillId="4" borderId="1" xfId="3" applyNumberFormat="1" applyFill="1" applyBorder="1" applyAlignment="1">
      <alignment horizontal="center"/>
    </xf>
  </cellXfs>
  <cellStyles count="4">
    <cellStyle name="Normal" xfId="0" builtinId="0"/>
    <cellStyle name="Normal 2 2" xfId="2" xr:uid="{68584CC1-8DFE-4394-BE52-EC3A4FED1BBB}"/>
    <cellStyle name="Normal 6" xfId="1" xr:uid="{FD1B5AB2-E068-4266-8102-B87A57195B1F}"/>
    <cellStyle name="Normal 7" xfId="3" xr:uid="{A0F8169D-5ABA-494F-B55D-E5D8754325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F5B1-2EF6-4184-B2D6-09F5C539FB69}">
  <dimension ref="A1:M23"/>
  <sheetViews>
    <sheetView tabSelected="1" workbookViewId="0">
      <selection activeCell="N18" sqref="N18"/>
    </sheetView>
  </sheetViews>
  <sheetFormatPr defaultRowHeight="14.4" x14ac:dyDescent="0.3"/>
  <cols>
    <col min="1" max="1" width="21.109375" bestFit="1" customWidth="1"/>
    <col min="2" max="2" width="21.109375" customWidth="1"/>
    <col min="3" max="3" width="11.6640625" bestFit="1" customWidth="1"/>
    <col min="4" max="6" width="13.33203125" bestFit="1" customWidth="1"/>
    <col min="9" max="9" width="12.44140625" bestFit="1" customWidth="1"/>
    <col min="11" max="11" width="12.33203125" bestFit="1" customWidth="1"/>
    <col min="12" max="12" width="11.6640625" customWidth="1"/>
  </cols>
  <sheetData>
    <row r="1" spans="1:13" ht="18" thickBot="1" x14ac:dyDescent="0.35">
      <c r="A1" s="3" t="s">
        <v>0</v>
      </c>
      <c r="B1" s="10" t="s">
        <v>1</v>
      </c>
      <c r="C1" s="6" t="s">
        <v>15</v>
      </c>
      <c r="D1" s="7" t="s">
        <v>16</v>
      </c>
      <c r="E1" s="6" t="s">
        <v>17</v>
      </c>
      <c r="F1" s="25" t="s">
        <v>18</v>
      </c>
      <c r="G1" s="29" t="s">
        <v>19</v>
      </c>
      <c r="H1" s="29" t="s">
        <v>20</v>
      </c>
      <c r="I1" s="7" t="s">
        <v>21</v>
      </c>
    </row>
    <row r="2" spans="1:13" ht="15" thickTop="1" x14ac:dyDescent="0.3">
      <c r="A2" s="4" t="s">
        <v>2</v>
      </c>
      <c r="B2" s="8" t="s">
        <v>61</v>
      </c>
      <c r="C2" s="11" t="s">
        <v>83</v>
      </c>
      <c r="D2" s="11">
        <v>86139</v>
      </c>
      <c r="E2" s="11" t="s">
        <v>85</v>
      </c>
      <c r="F2" s="21">
        <v>86101</v>
      </c>
      <c r="G2" s="30">
        <v>4.0000000000000002E-4</v>
      </c>
      <c r="H2" s="30">
        <v>2E-3</v>
      </c>
      <c r="I2" s="11">
        <v>20</v>
      </c>
      <c r="K2" t="str">
        <f>D2&amp;" - "&amp;F2</f>
        <v>86139 - 86101</v>
      </c>
      <c r="L2" t="str">
        <f>SUBSTITUTE(SUBSTITUTE(E2, "'", ""), ",", "")</f>
        <v>SCORRA3A</v>
      </c>
    </row>
    <row r="3" spans="1:13" x14ac:dyDescent="0.3">
      <c r="A3" s="4" t="s">
        <v>3</v>
      </c>
      <c r="B3" s="8" t="s">
        <v>62</v>
      </c>
      <c r="C3" s="11" t="s">
        <v>84</v>
      </c>
      <c r="D3" s="11">
        <v>86160</v>
      </c>
      <c r="E3" s="11" t="s">
        <v>85</v>
      </c>
      <c r="F3" s="21">
        <v>86101</v>
      </c>
      <c r="G3" s="30">
        <v>8.9999999999999998E-4</v>
      </c>
      <c r="H3" s="30">
        <v>3.7170000000000003E-3</v>
      </c>
      <c r="I3" s="11">
        <v>30</v>
      </c>
      <c r="K3" t="str">
        <f t="shared" ref="K3:K23" si="0">D3&amp;" - "&amp;F3</f>
        <v>86160 - 86101</v>
      </c>
      <c r="L3" t="str">
        <f t="shared" ref="L3:L23" si="1">SUBSTITUTE(SUBSTITUTE(E3, "'", ""), ",", "")</f>
        <v>SCORRA3A</v>
      </c>
    </row>
    <row r="4" spans="1:13" x14ac:dyDescent="0.3">
      <c r="A4" s="4" t="s">
        <v>4</v>
      </c>
      <c r="B4" s="8" t="s">
        <v>63</v>
      </c>
      <c r="C4" s="12" t="s">
        <v>38</v>
      </c>
      <c r="D4" s="12">
        <v>86123</v>
      </c>
      <c r="E4" s="14" t="s">
        <v>39</v>
      </c>
      <c r="F4" s="22">
        <v>86124</v>
      </c>
      <c r="G4" s="26">
        <v>2.100331491712707E-3</v>
      </c>
      <c r="H4" s="26">
        <v>5.7599999999999998E-2</v>
      </c>
      <c r="I4" s="19">
        <v>24</v>
      </c>
      <c r="K4" t="str">
        <f t="shared" si="0"/>
        <v>86123 - 86124</v>
      </c>
      <c r="L4" t="str">
        <f t="shared" si="1"/>
        <v>KIRKWA1A</v>
      </c>
      <c r="M4" t="s">
        <v>13</v>
      </c>
    </row>
    <row r="5" spans="1:13" x14ac:dyDescent="0.3">
      <c r="A5" s="4" t="s">
        <v>4</v>
      </c>
      <c r="B5" s="8" t="s">
        <v>64</v>
      </c>
      <c r="C5" s="12" t="s">
        <v>38</v>
      </c>
      <c r="D5" s="12">
        <v>86123</v>
      </c>
      <c r="E5" s="14" t="s">
        <v>40</v>
      </c>
      <c r="F5" s="22">
        <v>86125</v>
      </c>
      <c r="G5" s="26">
        <v>2.100331491712707E-3</v>
      </c>
      <c r="H5" s="26">
        <v>5.7599999999999998E-2</v>
      </c>
      <c r="I5" s="19">
        <v>24</v>
      </c>
      <c r="K5" t="str">
        <f t="shared" si="0"/>
        <v>86123 - 86125</v>
      </c>
      <c r="L5" t="str">
        <f t="shared" si="1"/>
        <v>KIRKWA1B</v>
      </c>
      <c r="M5" t="s">
        <v>14</v>
      </c>
    </row>
    <row r="6" spans="1:13" x14ac:dyDescent="0.3">
      <c r="A6" s="4" t="s">
        <v>5</v>
      </c>
      <c r="B6" s="8" t="s">
        <v>65</v>
      </c>
      <c r="C6" s="13" t="s">
        <v>22</v>
      </c>
      <c r="D6" s="13">
        <v>86102</v>
      </c>
      <c r="E6" s="15" t="s">
        <v>23</v>
      </c>
      <c r="F6" s="23">
        <v>86103</v>
      </c>
      <c r="G6" s="31">
        <v>1.3408820023837901E-3</v>
      </c>
      <c r="H6" s="31">
        <v>2.2499999999999999E-2</v>
      </c>
      <c r="I6" s="20">
        <v>15</v>
      </c>
      <c r="K6" t="str">
        <f t="shared" si="0"/>
        <v>86102 - 86103</v>
      </c>
      <c r="L6" t="str">
        <f t="shared" si="1"/>
        <v>STROMN1A</v>
      </c>
    </row>
    <row r="7" spans="1:13" x14ac:dyDescent="0.3">
      <c r="A7" s="4" t="s">
        <v>5</v>
      </c>
      <c r="B7" s="8" t="s">
        <v>66</v>
      </c>
      <c r="C7" s="13" t="s">
        <v>24</v>
      </c>
      <c r="D7" s="13">
        <v>86104</v>
      </c>
      <c r="E7" s="15" t="s">
        <v>25</v>
      </c>
      <c r="F7" s="23">
        <v>86105</v>
      </c>
      <c r="G7" s="31">
        <v>1.3408820023837901E-3</v>
      </c>
      <c r="H7" s="31">
        <v>2.2499999999999999E-2</v>
      </c>
      <c r="I7" s="20">
        <v>15</v>
      </c>
      <c r="K7" t="str">
        <f t="shared" si="0"/>
        <v>86104 - 86105</v>
      </c>
      <c r="L7" t="str">
        <f t="shared" si="1"/>
        <v>STROMN1B</v>
      </c>
    </row>
    <row r="8" spans="1:13" x14ac:dyDescent="0.3">
      <c r="A8" s="4" t="s">
        <v>6</v>
      </c>
      <c r="B8" s="8" t="s">
        <v>67</v>
      </c>
      <c r="C8" s="12" t="s">
        <v>49</v>
      </c>
      <c r="D8" s="12">
        <v>86138</v>
      </c>
      <c r="E8" s="14" t="s">
        <v>50</v>
      </c>
      <c r="F8" s="22">
        <v>86141</v>
      </c>
      <c r="G8" s="27">
        <v>1.0439116379310344E-3</v>
      </c>
      <c r="H8" s="27">
        <v>1.5625E-2</v>
      </c>
      <c r="I8" s="19">
        <v>12.5</v>
      </c>
      <c r="K8" t="str">
        <f t="shared" si="0"/>
        <v>86138 - 86141</v>
      </c>
      <c r="L8" t="str">
        <f t="shared" si="1"/>
        <v>FLTOCC1C</v>
      </c>
    </row>
    <row r="9" spans="1:13" x14ac:dyDescent="0.3">
      <c r="A9" s="4" t="s">
        <v>7</v>
      </c>
      <c r="B9" s="8" t="s">
        <v>68</v>
      </c>
      <c r="C9" s="13" t="s">
        <v>57</v>
      </c>
      <c r="D9" s="13">
        <v>86161</v>
      </c>
      <c r="E9" s="15" t="s">
        <v>58</v>
      </c>
      <c r="F9" s="23">
        <v>86162</v>
      </c>
      <c r="G9" s="32">
        <v>4.5070422535211274E-4</v>
      </c>
      <c r="H9" s="32">
        <v>6.4000000000000003E-3</v>
      </c>
      <c r="I9" s="20">
        <v>8</v>
      </c>
      <c r="K9" t="str">
        <f t="shared" si="0"/>
        <v>86161 - 86162</v>
      </c>
      <c r="L9" t="str">
        <f t="shared" si="1"/>
        <v>NEWBIG1A</v>
      </c>
    </row>
    <row r="10" spans="1:13" x14ac:dyDescent="0.3">
      <c r="A10" s="4" t="s">
        <v>7</v>
      </c>
      <c r="B10" s="8" t="s">
        <v>69</v>
      </c>
      <c r="C10" s="13" t="s">
        <v>26</v>
      </c>
      <c r="D10" s="13">
        <v>86108</v>
      </c>
      <c r="E10" s="15" t="s">
        <v>27</v>
      </c>
      <c r="F10" s="23">
        <v>86109</v>
      </c>
      <c r="G10" s="32">
        <v>4.5070422535211274E-4</v>
      </c>
      <c r="H10" s="32">
        <v>6.4000000000000003E-3</v>
      </c>
      <c r="I10" s="20">
        <v>8</v>
      </c>
      <c r="K10" t="str">
        <f t="shared" si="0"/>
        <v>86108 - 86109</v>
      </c>
      <c r="L10" t="str">
        <f t="shared" si="1"/>
        <v>BURGAR1A</v>
      </c>
    </row>
    <row r="11" spans="1:13" x14ac:dyDescent="0.3">
      <c r="A11" s="4" t="s">
        <v>8</v>
      </c>
      <c r="B11" s="8" t="s">
        <v>70</v>
      </c>
      <c r="C11" s="12" t="s">
        <v>30</v>
      </c>
      <c r="D11" s="12">
        <v>86113</v>
      </c>
      <c r="E11" s="14" t="s">
        <v>31</v>
      </c>
      <c r="F11" s="22">
        <v>86114</v>
      </c>
      <c r="G11" s="26">
        <v>3.5955917585050312E-4</v>
      </c>
      <c r="H11" s="26">
        <v>2.8E-3</v>
      </c>
      <c r="I11" s="19">
        <v>4</v>
      </c>
      <c r="K11" t="str">
        <f t="shared" si="0"/>
        <v>86113 - 86114</v>
      </c>
      <c r="L11" t="str">
        <f t="shared" si="1"/>
        <v>WESTRY1A</v>
      </c>
    </row>
    <row r="12" spans="1:13" x14ac:dyDescent="0.3">
      <c r="A12" s="4" t="s">
        <v>8</v>
      </c>
      <c r="B12" s="8" t="s">
        <v>71</v>
      </c>
      <c r="C12" s="12" t="s">
        <v>41</v>
      </c>
      <c r="D12" s="12">
        <v>86126</v>
      </c>
      <c r="E12" s="16" t="s">
        <v>42</v>
      </c>
      <c r="F12" s="22">
        <v>86127</v>
      </c>
      <c r="G12" s="27">
        <v>3.5955917585050312E-4</v>
      </c>
      <c r="H12" s="27">
        <v>2.8E-3</v>
      </c>
      <c r="I12" s="19">
        <v>4</v>
      </c>
      <c r="K12" t="str">
        <f t="shared" si="0"/>
        <v>86126 - 86127</v>
      </c>
      <c r="L12" t="str">
        <f t="shared" si="1"/>
        <v>STMARY1A</v>
      </c>
    </row>
    <row r="13" spans="1:13" x14ac:dyDescent="0.3">
      <c r="A13" s="4" t="s">
        <v>9</v>
      </c>
      <c r="B13" s="8" t="s">
        <v>72</v>
      </c>
      <c r="C13" s="13" t="s">
        <v>28</v>
      </c>
      <c r="D13" s="13">
        <v>86111</v>
      </c>
      <c r="E13" s="15" t="s">
        <v>29</v>
      </c>
      <c r="F13" s="23">
        <v>86112</v>
      </c>
      <c r="G13" s="32">
        <v>2.255533762958812E-4</v>
      </c>
      <c r="H13" s="32">
        <v>1.7499999999999998E-3</v>
      </c>
      <c r="I13" s="20">
        <v>2.5</v>
      </c>
      <c r="K13" t="str">
        <f t="shared" si="0"/>
        <v>86111 - 86112</v>
      </c>
      <c r="L13" t="str">
        <f t="shared" si="1"/>
        <v>ROUSAY1A</v>
      </c>
    </row>
    <row r="14" spans="1:13" x14ac:dyDescent="0.3">
      <c r="A14" s="4" t="s">
        <v>9</v>
      </c>
      <c r="B14" s="8" t="s">
        <v>73</v>
      </c>
      <c r="C14" s="13" t="s">
        <v>36</v>
      </c>
      <c r="D14" s="13">
        <v>86121</v>
      </c>
      <c r="E14" s="17" t="s">
        <v>37</v>
      </c>
      <c r="F14" s="23">
        <v>86122</v>
      </c>
      <c r="G14" s="32">
        <v>2.255533762958812E-4</v>
      </c>
      <c r="H14" s="32">
        <v>1.7499999999999998E-3</v>
      </c>
      <c r="I14" s="20">
        <v>2.5</v>
      </c>
      <c r="K14" t="str">
        <f t="shared" si="0"/>
        <v>86121 - 86122</v>
      </c>
      <c r="L14" t="str">
        <f t="shared" si="1"/>
        <v>SHAPIN1A</v>
      </c>
    </row>
    <row r="15" spans="1:13" x14ac:dyDescent="0.3">
      <c r="A15" s="4" t="s">
        <v>9</v>
      </c>
      <c r="B15" s="8" t="s">
        <v>74</v>
      </c>
      <c r="C15" s="13" t="s">
        <v>47</v>
      </c>
      <c r="D15" s="13">
        <v>86135</v>
      </c>
      <c r="E15" s="15" t="s">
        <v>48</v>
      </c>
      <c r="F15" s="23">
        <v>86136</v>
      </c>
      <c r="G15" s="32">
        <v>2.255533762958812E-4</v>
      </c>
      <c r="H15" s="32">
        <v>1.7499999999999998E-3</v>
      </c>
      <c r="I15" s="20">
        <v>2.5</v>
      </c>
      <c r="K15" t="str">
        <f t="shared" si="0"/>
        <v>86135 - 86136</v>
      </c>
      <c r="L15" t="str">
        <f t="shared" si="1"/>
        <v>FLOTTA1A</v>
      </c>
    </row>
    <row r="16" spans="1:13" x14ac:dyDescent="0.3">
      <c r="A16" s="4" t="s">
        <v>9</v>
      </c>
      <c r="B16" s="8" t="s">
        <v>75</v>
      </c>
      <c r="C16" s="13" t="s">
        <v>51</v>
      </c>
      <c r="D16" s="13">
        <v>86147</v>
      </c>
      <c r="E16" s="15" t="s">
        <v>52</v>
      </c>
      <c r="F16" s="23">
        <v>86149</v>
      </c>
      <c r="G16" s="32">
        <v>2.255533762958812E-4</v>
      </c>
      <c r="H16" s="32">
        <v>1.7499999999999998E-3</v>
      </c>
      <c r="I16" s="20">
        <v>2.5</v>
      </c>
      <c r="K16" t="str">
        <f t="shared" si="0"/>
        <v>86147 - 86149</v>
      </c>
      <c r="L16" t="str">
        <f t="shared" si="1"/>
        <v>THORNF1A</v>
      </c>
    </row>
    <row r="17" spans="1:12" x14ac:dyDescent="0.3">
      <c r="A17" s="4" t="s">
        <v>9</v>
      </c>
      <c r="B17" s="8" t="s">
        <v>76</v>
      </c>
      <c r="C17" s="13" t="s">
        <v>53</v>
      </c>
      <c r="D17" s="13">
        <v>86148</v>
      </c>
      <c r="E17" s="15" t="s">
        <v>54</v>
      </c>
      <c r="F17" s="23">
        <v>86146</v>
      </c>
      <c r="G17" s="32">
        <v>2.255533762958812E-4</v>
      </c>
      <c r="H17" s="32">
        <v>1.7499999999999998E-3</v>
      </c>
      <c r="I17" s="20">
        <v>2.5</v>
      </c>
      <c r="K17" t="str">
        <f t="shared" si="0"/>
        <v>86148 - 86146</v>
      </c>
      <c r="L17" t="str">
        <f t="shared" si="1"/>
        <v>THORNF1B</v>
      </c>
    </row>
    <row r="18" spans="1:12" x14ac:dyDescent="0.3">
      <c r="A18" s="4" t="s">
        <v>10</v>
      </c>
      <c r="B18" s="8" t="s">
        <v>77</v>
      </c>
      <c r="C18" s="12" t="s">
        <v>55</v>
      </c>
      <c r="D18" s="12">
        <v>86151</v>
      </c>
      <c r="E18" s="14" t="s">
        <v>56</v>
      </c>
      <c r="F18" s="22">
        <v>86150</v>
      </c>
      <c r="G18" s="26">
        <v>1.3193374820488275E-4</v>
      </c>
      <c r="H18" s="26">
        <v>1.0240000000000002E-3</v>
      </c>
      <c r="I18" s="19">
        <v>1.6</v>
      </c>
      <c r="K18" t="str">
        <f t="shared" si="0"/>
        <v>86151 - 86150</v>
      </c>
      <c r="L18" t="str">
        <f t="shared" si="1"/>
        <v>SIGURD1A</v>
      </c>
    </row>
    <row r="19" spans="1:12" x14ac:dyDescent="0.3">
      <c r="A19" s="4" t="s">
        <v>11</v>
      </c>
      <c r="B19" s="8" t="s">
        <v>78</v>
      </c>
      <c r="C19" s="13" t="s">
        <v>32</v>
      </c>
      <c r="D19" s="13">
        <v>86117</v>
      </c>
      <c r="E19" s="15" t="s">
        <v>33</v>
      </c>
      <c r="F19" s="23">
        <v>86118</v>
      </c>
      <c r="G19" s="32">
        <v>7.7220000000000009E-5</v>
      </c>
      <c r="H19" s="32">
        <v>6.0000000000000006E-4</v>
      </c>
      <c r="I19" s="20">
        <v>1</v>
      </c>
      <c r="K19" t="str">
        <f t="shared" si="0"/>
        <v>86117 - 86118</v>
      </c>
      <c r="L19" t="str">
        <f t="shared" si="1"/>
        <v>SANDAY1A</v>
      </c>
    </row>
    <row r="20" spans="1:12" x14ac:dyDescent="0.3">
      <c r="A20" s="4" t="s">
        <v>11</v>
      </c>
      <c r="B20" s="8" t="s">
        <v>79</v>
      </c>
      <c r="C20" s="13" t="s">
        <v>34</v>
      </c>
      <c r="D20" s="13">
        <v>86119</v>
      </c>
      <c r="E20" s="15" t="s">
        <v>35</v>
      </c>
      <c r="F20" s="23">
        <v>86120</v>
      </c>
      <c r="G20" s="32">
        <v>7.7220000000000009E-5</v>
      </c>
      <c r="H20" s="32">
        <v>6.0000000000000006E-4</v>
      </c>
      <c r="I20" s="20">
        <v>1</v>
      </c>
      <c r="K20" t="str">
        <f t="shared" si="0"/>
        <v>86119 - 86120</v>
      </c>
      <c r="L20" t="str">
        <f t="shared" si="1"/>
        <v>STRONS1A</v>
      </c>
    </row>
    <row r="21" spans="1:12" x14ac:dyDescent="0.3">
      <c r="A21" s="4" t="s">
        <v>11</v>
      </c>
      <c r="B21" s="8" t="s">
        <v>80</v>
      </c>
      <c r="C21" s="13" t="s">
        <v>45</v>
      </c>
      <c r="D21" s="13">
        <v>86132</v>
      </c>
      <c r="E21" s="17" t="s">
        <v>46</v>
      </c>
      <c r="F21" s="23">
        <v>86133</v>
      </c>
      <c r="G21" s="32">
        <v>7.7220000000000009E-5</v>
      </c>
      <c r="H21" s="32">
        <v>6.0000000000000006E-4</v>
      </c>
      <c r="I21" s="20">
        <v>1</v>
      </c>
      <c r="K21" t="str">
        <f t="shared" si="0"/>
        <v>86132 - 86133</v>
      </c>
      <c r="L21" t="str">
        <f t="shared" si="1"/>
        <v>LYNESS1A</v>
      </c>
    </row>
    <row r="22" spans="1:12" x14ac:dyDescent="0.3">
      <c r="A22" s="4" t="s">
        <v>11</v>
      </c>
      <c r="B22" s="8" t="s">
        <v>81</v>
      </c>
      <c r="C22" s="13" t="s">
        <v>59</v>
      </c>
      <c r="D22" s="13">
        <v>86168</v>
      </c>
      <c r="E22" s="17" t="s">
        <v>60</v>
      </c>
      <c r="F22" s="23">
        <v>86116</v>
      </c>
      <c r="G22" s="32">
        <v>7.7220000000000009E-5</v>
      </c>
      <c r="H22" s="32">
        <v>6.0000000000000006E-4</v>
      </c>
      <c r="I22" s="20">
        <v>1</v>
      </c>
      <c r="K22" t="str">
        <f t="shared" si="0"/>
        <v>86168 - 86116</v>
      </c>
      <c r="L22" t="str">
        <f t="shared" si="1"/>
        <v>EDAY1A</v>
      </c>
    </row>
    <row r="23" spans="1:12" x14ac:dyDescent="0.3">
      <c r="A23" s="5" t="s">
        <v>12</v>
      </c>
      <c r="B23" s="9" t="s">
        <v>82</v>
      </c>
      <c r="C23" s="1" t="s">
        <v>43</v>
      </c>
      <c r="D23" s="1">
        <v>86129</v>
      </c>
      <c r="E23" s="18" t="s">
        <v>44</v>
      </c>
      <c r="F23" s="24">
        <v>86130</v>
      </c>
      <c r="G23" s="28">
        <v>1.5710000000000004E-5</v>
      </c>
      <c r="H23" s="28">
        <v>1.2000000000000002E-4</v>
      </c>
      <c r="I23" s="2">
        <v>0.2</v>
      </c>
      <c r="K23" t="str">
        <f t="shared" si="0"/>
        <v>86129 - 86130</v>
      </c>
      <c r="L23" t="str">
        <f t="shared" si="1"/>
        <v>NTHHOY1A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5961C85CE9C4458999A6D399E262FE" ma:contentTypeVersion="11" ma:contentTypeDescription="Create a new document." ma:contentTypeScope="" ma:versionID="520026057777cb4828208bf8f0f28fd2">
  <xsd:schema xmlns:xsd="http://www.w3.org/2001/XMLSchema" xmlns:xs="http://www.w3.org/2001/XMLSchema" xmlns:p="http://schemas.microsoft.com/office/2006/metadata/properties" xmlns:ns2="42d9e66e-34e8-473a-9896-5c885ff3768e" xmlns:ns3="6d8d29b2-fe86-40e2-902c-cf51958178ad" targetNamespace="http://schemas.microsoft.com/office/2006/metadata/properties" ma:root="true" ma:fieldsID="e8bd9794c704b036d397d316e8863427" ns2:_="" ns3:_="">
    <xsd:import namespace="42d9e66e-34e8-473a-9896-5c885ff3768e"/>
    <xsd:import namespace="6d8d29b2-fe86-40e2-902c-cf51958178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9e66e-34e8-473a-9896-5c885ff376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d29b2-fe86-40e2-902c-cf51958178a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c5a545e-c26a-4dca-bf80-bfcae4ac29ac}" ma:internalName="TaxCatchAll" ma:showField="CatchAllData" ma:web="6d8d29b2-fe86-40e2-902c-cf51958178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d9e66e-34e8-473a-9896-5c885ff3768e">
      <Terms xmlns="http://schemas.microsoft.com/office/infopath/2007/PartnerControls"/>
    </lcf76f155ced4ddcb4097134ff3c332f>
    <TaxCatchAll xmlns="6d8d29b2-fe86-40e2-902c-cf51958178ad" xsi:nil="true"/>
  </documentManagement>
</p:properties>
</file>

<file path=customXml/itemProps1.xml><?xml version="1.0" encoding="utf-8"?>
<ds:datastoreItem xmlns:ds="http://schemas.openxmlformats.org/officeDocument/2006/customXml" ds:itemID="{601C12DC-B178-4C4D-8F48-C64CD2E937C6}"/>
</file>

<file path=customXml/itemProps2.xml><?xml version="1.0" encoding="utf-8"?>
<ds:datastoreItem xmlns:ds="http://schemas.openxmlformats.org/officeDocument/2006/customXml" ds:itemID="{9ACC9E0B-BBF4-4B00-BC2D-7A003A46AA5A}"/>
</file>

<file path=customXml/itemProps3.xml><?xml version="1.0" encoding="utf-8"?>
<ds:datastoreItem xmlns:ds="http://schemas.openxmlformats.org/officeDocument/2006/customXml" ds:itemID="{FC976391-C496-4871-923E-9605A5EE5A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Honggoo Lee</dc:creator>
  <cp:lastModifiedBy>Honggoo Lee</cp:lastModifiedBy>
  <dcterms:created xsi:type="dcterms:W3CDTF">2024-07-16T21:58:24Z</dcterms:created>
  <dcterms:modified xsi:type="dcterms:W3CDTF">2024-07-16T22:33:23Z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0x010100615961C85CE9C4458999A6D399E262FE</vt:lpwstr>
  </property>
  <property fmtid="{D5CDD505-2E9C-101B-9397-08002B2CF9AE}" pid="3" name="MediaServiceImageTags">
    <vt:lpwstr/>
  </property>
</Properties>
</file>